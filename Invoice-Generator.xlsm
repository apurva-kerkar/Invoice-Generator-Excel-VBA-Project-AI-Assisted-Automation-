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e47cc259ad1ef68/Documents/EXCEL/Invoice Generator/"/>
    </mc:Choice>
  </mc:AlternateContent>
  <xr:revisionPtr revIDLastSave="70" documentId="8_{229171F4-C9DA-4A63-92B7-3CE7BD7B1141}" xr6:coauthVersionLast="47" xr6:coauthVersionMax="47" xr10:uidLastSave="{DAFDB5BE-FBCD-4731-9397-9D932229699A}"/>
  <bookViews>
    <workbookView xWindow="-108" yWindow="-108" windowWidth="23256" windowHeight="12456" xr2:uid="{1360F385-C248-4C03-8105-31822B18A75B}"/>
  </bookViews>
  <sheets>
    <sheet name="Invoice" sheetId="1" r:id="rId1"/>
    <sheet name="ClientList" sheetId="2" r:id="rId2"/>
    <sheet name="ProductLis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1" l="1"/>
  <c r="E7" i="1"/>
  <c r="E17" i="1"/>
  <c r="F17" i="1" s="1"/>
  <c r="E18" i="1"/>
  <c r="F18" i="1" s="1"/>
  <c r="E19" i="1"/>
  <c r="F19" i="1" s="1"/>
  <c r="E20" i="1"/>
  <c r="F20" i="1" s="1"/>
  <c r="E21" i="1"/>
  <c r="F21" i="1" s="1"/>
  <c r="E22" i="1"/>
  <c r="F22" i="1" s="1"/>
  <c r="E23" i="1"/>
  <c r="F23" i="1" s="1"/>
  <c r="E24" i="1"/>
  <c r="F24" i="1" s="1"/>
  <c r="E16" i="1"/>
  <c r="F16" i="1" s="1"/>
  <c r="E13" i="1"/>
  <c r="E6" i="1"/>
  <c r="F27" i="1" l="1"/>
  <c r="F28" i="1" s="1"/>
  <c r="F30" i="1" s="1"/>
</calcChain>
</file>

<file path=xl/sharedStrings.xml><?xml version="1.0" encoding="utf-8"?>
<sst xmlns="http://schemas.openxmlformats.org/spreadsheetml/2006/main" count="35" uniqueCount="33">
  <si>
    <t>Client Name</t>
  </si>
  <si>
    <t>Address</t>
  </si>
  <si>
    <t>Contact</t>
  </si>
  <si>
    <t>Pixel Labs</t>
  </si>
  <si>
    <t>Mumbai, India</t>
  </si>
  <si>
    <t>Nova Solutions</t>
  </si>
  <si>
    <t>Pune, India</t>
  </si>
  <si>
    <t>BrightWorks</t>
  </si>
  <si>
    <t>Delhi, India</t>
  </si>
  <si>
    <t>91-9000000001</t>
  </si>
  <si>
    <t>91-9000000002</t>
  </si>
  <si>
    <t>91-9000000003</t>
  </si>
  <si>
    <t>Product/Service</t>
  </si>
  <si>
    <t>Unit Price</t>
  </si>
  <si>
    <t>Logo Design</t>
  </si>
  <si>
    <t>Web Development</t>
  </si>
  <si>
    <t>SEO Optimization</t>
  </si>
  <si>
    <t>Social Media Mgmt</t>
  </si>
  <si>
    <t>Content Writing</t>
  </si>
  <si>
    <t>QTY</t>
  </si>
  <si>
    <t>Subtotal:</t>
  </si>
  <si>
    <t>Discount:</t>
  </si>
  <si>
    <t>Total:</t>
  </si>
  <si>
    <t>Bill To</t>
  </si>
  <si>
    <t>Client Name:</t>
  </si>
  <si>
    <t>Address:</t>
  </si>
  <si>
    <t>Contact:</t>
  </si>
  <si>
    <t>Date:</t>
  </si>
  <si>
    <t>Invoice No:</t>
  </si>
  <si>
    <t>INVOICE</t>
  </si>
  <si>
    <t>Thank You!!!</t>
  </si>
  <si>
    <t>Total</t>
  </si>
  <si>
    <t>GST(18%):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</si>
</sst>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0"/>
      <color theme="1"/>
      <name val="Arial Unicode MS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3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ck">
        <color theme="4" tint="-0.249977111117893"/>
      </top>
      <bottom style="thin">
        <color indexed="64"/>
      </bottom>
      <diagonal/>
    </border>
    <border>
      <left/>
      <right/>
      <top/>
      <bottom style="thick">
        <color theme="4" tint="-0.249977111117893"/>
      </bottom>
      <diagonal/>
    </border>
    <border>
      <left/>
      <right/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 style="thick">
        <color theme="0"/>
      </right>
      <top/>
      <bottom style="thick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/>
      <diagonal/>
    </border>
    <border>
      <left/>
      <right/>
      <top style="medium">
        <color theme="4" tint="-0.249977111117893"/>
      </top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 style="medium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theme="4" tint="-0.249977111117893"/>
      </left>
      <right/>
      <top/>
      <bottom style="medium">
        <color theme="4" tint="-0.249977111117893"/>
      </bottom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2" xfId="0" applyFont="1" applyBorder="1" applyAlignment="1">
      <alignment horizontal="righ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right" vertical="center"/>
    </xf>
    <xf numFmtId="14" fontId="5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left"/>
    </xf>
    <xf numFmtId="0" fontId="0" fillId="0" borderId="22" xfId="0" applyBorder="1"/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/>
    <xf numFmtId="0" fontId="0" fillId="0" borderId="29" xfId="0" applyBorder="1" applyAlignment="1">
      <alignment horizont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vertical="center"/>
    </xf>
    <xf numFmtId="0" fontId="1" fillId="2" borderId="24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right"/>
    </xf>
    <xf numFmtId="0" fontId="2" fillId="0" borderId="26" xfId="0" applyFont="1" applyBorder="1" applyAlignment="1">
      <alignment horizontal="right"/>
    </xf>
    <xf numFmtId="0" fontId="1" fillId="2" borderId="25" xfId="0" applyFont="1" applyFill="1" applyBorder="1" applyAlignment="1">
      <alignment horizontal="right" vertical="center"/>
    </xf>
    <xf numFmtId="2" fontId="0" fillId="0" borderId="27" xfId="0" applyNumberFormat="1" applyBorder="1" applyAlignment="1">
      <alignment horizontal="right"/>
    </xf>
    <xf numFmtId="2" fontId="0" fillId="0" borderId="30" xfId="0" applyNumberFormat="1" applyBorder="1" applyAlignment="1">
      <alignment horizontal="right"/>
    </xf>
    <xf numFmtId="2" fontId="0" fillId="0" borderId="0" xfId="0" applyNumberFormat="1" applyAlignment="1">
      <alignment horizontal="right"/>
    </xf>
    <xf numFmtId="2" fontId="0" fillId="0" borderId="25" xfId="0" applyNumberFormat="1" applyBorder="1" applyAlignment="1">
      <alignment horizontal="right"/>
    </xf>
    <xf numFmtId="2" fontId="0" fillId="0" borderId="22" xfId="0" applyNumberFormat="1" applyBorder="1" applyAlignment="1">
      <alignment horizontal="center"/>
    </xf>
    <xf numFmtId="0" fontId="3" fillId="5" borderId="28" xfId="0" applyFont="1" applyFill="1" applyBorder="1" applyAlignment="1">
      <alignment horizontal="right"/>
    </xf>
    <xf numFmtId="2" fontId="3" fillId="5" borderId="30" xfId="0" applyNumberFormat="1" applyFont="1" applyFill="1" applyBorder="1" applyAlignment="1">
      <alignment horizontal="right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0" borderId="8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596385</xdr:colOff>
      <xdr:row>1</xdr:row>
      <xdr:rowOff>0</xdr:rowOff>
    </xdr:from>
    <xdr:to>
      <xdr:col>6</xdr:col>
      <xdr:colOff>190500</xdr:colOff>
      <xdr:row>34</xdr:row>
      <xdr:rowOff>15240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6E262E5-E724-4E58-9D58-7DD9E86A1CE1}"/>
            </a:ext>
          </a:extLst>
        </xdr:cNvPr>
        <xdr:cNvSpPr/>
      </xdr:nvSpPr>
      <xdr:spPr>
        <a:xfrm>
          <a:off x="596385" y="365760"/>
          <a:ext cx="4806195" cy="5996940"/>
        </a:xfrm>
        <a:prstGeom prst="roundRect">
          <a:avLst>
            <a:gd name="adj" fmla="val 4267"/>
          </a:avLst>
        </a:prstGeom>
        <a:noFill/>
        <a:ln w="19050"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487680</xdr:colOff>
          <xdr:row>34</xdr:row>
          <xdr:rowOff>60960</xdr:rowOff>
        </xdr:from>
        <xdr:to>
          <xdr:col>4</xdr:col>
          <xdr:colOff>160020</xdr:colOff>
          <xdr:row>35</xdr:row>
          <xdr:rowOff>114300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241A9-45A2-432A-B722-980B0D475081}">
  <sheetPr codeName="Sheet1"/>
  <dimension ref="C2:G33"/>
  <sheetViews>
    <sheetView showGridLines="0" tabSelected="1" zoomScale="80" zoomScaleNormal="80" workbookViewId="0">
      <selection activeCell="I27" sqref="I27"/>
    </sheetView>
  </sheetViews>
  <sheetFormatPr defaultRowHeight="14.4"/>
  <cols>
    <col min="1" max="1" width="4.109375" customWidth="1"/>
    <col min="2" max="2" width="2.5546875" customWidth="1"/>
    <col min="3" max="3" width="14.5546875" customWidth="1"/>
    <col min="4" max="4" width="17.5546875" customWidth="1"/>
    <col min="5" max="5" width="14.88671875" customWidth="1"/>
    <col min="6" max="6" width="17.5546875" customWidth="1"/>
    <col min="7" max="7" width="5.33203125" customWidth="1"/>
    <col min="8" max="8" width="2.109375" customWidth="1"/>
  </cols>
  <sheetData>
    <row r="2" spans="3:7" ht="15" thickBot="1"/>
    <row r="3" spans="3:7" ht="13.2" customHeight="1">
      <c r="C3" s="34" t="s">
        <v>29</v>
      </c>
      <c r="D3" s="35"/>
      <c r="E3" s="35"/>
      <c r="F3" s="36"/>
    </row>
    <row r="4" spans="3:7" ht="15" customHeight="1">
      <c r="C4" s="37"/>
      <c r="D4" s="38"/>
      <c r="E4" s="38"/>
      <c r="F4" s="39"/>
    </row>
    <row r="5" spans="3:7" ht="20.399999999999999" customHeight="1" thickBot="1">
      <c r="C5" s="40"/>
      <c r="D5" s="41"/>
      <c r="E5" s="41"/>
      <c r="F5" s="42"/>
    </row>
    <row r="6" spans="3:7">
      <c r="C6" s="11"/>
      <c r="D6" s="13" t="s">
        <v>27</v>
      </c>
      <c r="E6" s="15">
        <f ca="1">TODAY()</f>
        <v>45845</v>
      </c>
    </row>
    <row r="7" spans="3:7">
      <c r="C7" s="11"/>
      <c r="D7" s="14" t="s">
        <v>28</v>
      </c>
      <c r="E7" t="str">
        <f>"INV-"&amp;TEXT(ROW(E7),"000")</f>
        <v>INV-007</v>
      </c>
    </row>
    <row r="8" spans="3:7" ht="15" thickBot="1">
      <c r="C8" s="10"/>
      <c r="E8" s="10"/>
      <c r="F8" s="10"/>
      <c r="G8" s="9"/>
    </row>
    <row r="9" spans="3:7" ht="0.6" customHeight="1" thickTop="1" thickBot="1">
      <c r="C9" s="8"/>
      <c r="D9" s="8"/>
      <c r="E9" s="8"/>
      <c r="F9" s="7"/>
    </row>
    <row r="10" spans="3:7" ht="15" thickTop="1">
      <c r="C10" s="6"/>
      <c r="D10" s="6"/>
    </row>
    <row r="11" spans="3:7">
      <c r="C11" s="45" t="s">
        <v>23</v>
      </c>
      <c r="D11" s="4" t="s">
        <v>24</v>
      </c>
      <c r="E11" s="48"/>
      <c r="F11" s="49"/>
    </row>
    <row r="12" spans="3:7">
      <c r="C12" s="46"/>
      <c r="D12" s="3" t="s">
        <v>25</v>
      </c>
      <c r="E12" s="50" t="str">
        <f>_xlfn.XLOOKUP(E11,ClientList!A2:A4,ClientList!B2:B4,"")</f>
        <v/>
      </c>
      <c r="F12" s="51"/>
    </row>
    <row r="13" spans="3:7">
      <c r="C13" s="47"/>
      <c r="D13" s="5" t="s">
        <v>26</v>
      </c>
      <c r="E13" s="50" t="str">
        <f>_xlfn.XLOOKUP(E11,ClientList!A2:A4,ClientList!C2:C4,"")</f>
        <v/>
      </c>
      <c r="F13" s="51"/>
    </row>
    <row r="14" spans="3:7" ht="15" thickBot="1"/>
    <row r="15" spans="3:7">
      <c r="C15" s="21" t="s">
        <v>19</v>
      </c>
      <c r="D15" s="22" t="s">
        <v>12</v>
      </c>
      <c r="E15" s="23" t="s">
        <v>13</v>
      </c>
      <c r="F15" s="26" t="s">
        <v>31</v>
      </c>
    </row>
    <row r="16" spans="3:7" ht="14.4" customHeight="1">
      <c r="C16" s="17"/>
      <c r="D16" s="16"/>
      <c r="E16" s="31">
        <f>_xlfn.XLOOKUP(D16,ProductList!A2:A6,ProductList!B2:B6,0)</f>
        <v>0</v>
      </c>
      <c r="F16" s="27">
        <f>C16*E16</f>
        <v>0</v>
      </c>
    </row>
    <row r="17" spans="3:6" ht="14.4" customHeight="1">
      <c r="C17" s="17"/>
      <c r="D17" s="16"/>
      <c r="E17" s="31">
        <f>_xlfn.XLOOKUP(D17,ProductList!A3:A7,ProductList!B3:B7,0)</f>
        <v>0</v>
      </c>
      <c r="F17" s="27">
        <f t="shared" ref="F17:F24" si="0">C17*E17</f>
        <v>0</v>
      </c>
    </row>
    <row r="18" spans="3:6">
      <c r="C18" s="17"/>
      <c r="D18" s="16"/>
      <c r="E18" s="31">
        <f>_xlfn.XLOOKUP(D18,ProductList!A4:A8,ProductList!B4:B8,0)</f>
        <v>0</v>
      </c>
      <c r="F18" s="27">
        <f t="shared" si="0"/>
        <v>0</v>
      </c>
    </row>
    <row r="19" spans="3:6">
      <c r="C19" s="17"/>
      <c r="D19" s="16"/>
      <c r="E19" s="31">
        <f>_xlfn.XLOOKUP(D19,ProductList!A5:A9,ProductList!B5:B9,0)</f>
        <v>0</v>
      </c>
      <c r="F19" s="27">
        <f t="shared" si="0"/>
        <v>0</v>
      </c>
    </row>
    <row r="20" spans="3:6">
      <c r="C20" s="17"/>
      <c r="D20" s="16"/>
      <c r="E20" s="31">
        <f>_xlfn.XLOOKUP(D20,ProductList!A6:A10,ProductList!B6:B10,0)</f>
        <v>0</v>
      </c>
      <c r="F20" s="27">
        <f t="shared" si="0"/>
        <v>0</v>
      </c>
    </row>
    <row r="21" spans="3:6">
      <c r="C21" s="17"/>
      <c r="D21" s="16"/>
      <c r="E21" s="31">
        <f>_xlfn.XLOOKUP(D21,ProductList!A7:A11,ProductList!B7:B11,0)</f>
        <v>0</v>
      </c>
      <c r="F21" s="27">
        <f t="shared" si="0"/>
        <v>0</v>
      </c>
    </row>
    <row r="22" spans="3:6">
      <c r="C22" s="17"/>
      <c r="D22" s="16"/>
      <c r="E22" s="31">
        <f>_xlfn.XLOOKUP(D22,ProductList!A8:A12,ProductList!B8:B12,0)</f>
        <v>0</v>
      </c>
      <c r="F22" s="27">
        <f t="shared" si="0"/>
        <v>0</v>
      </c>
    </row>
    <row r="23" spans="3:6">
      <c r="C23" s="17"/>
      <c r="D23" s="16"/>
      <c r="E23" s="31">
        <f>_xlfn.XLOOKUP(D23,ProductList!A9:A13,ProductList!B9:B13,0)</f>
        <v>0</v>
      </c>
      <c r="F23" s="27">
        <f t="shared" si="0"/>
        <v>0</v>
      </c>
    </row>
    <row r="24" spans="3:6">
      <c r="C24" s="17"/>
      <c r="D24" s="16"/>
      <c r="E24" s="31">
        <f>_xlfn.XLOOKUP(D24,ProductList!A10:A14,ProductList!B10:B14,0)</f>
        <v>0</v>
      </c>
      <c r="F24" s="27">
        <f t="shared" si="0"/>
        <v>0</v>
      </c>
    </row>
    <row r="25" spans="3:6" ht="15" thickBot="1">
      <c r="C25" s="18"/>
      <c r="D25" s="19"/>
      <c r="E25" s="20"/>
      <c r="F25" s="28"/>
    </row>
    <row r="26" spans="3:6" ht="15" thickBot="1">
      <c r="C26" s="12"/>
      <c r="F26" s="29"/>
    </row>
    <row r="27" spans="3:6">
      <c r="E27" s="24" t="s">
        <v>20</v>
      </c>
      <c r="F27" s="30">
        <f>SUM(F16:F24)</f>
        <v>0</v>
      </c>
    </row>
    <row r="28" spans="3:6">
      <c r="E28" s="25" t="s">
        <v>32</v>
      </c>
      <c r="F28" s="27">
        <f>F27*0.18</f>
        <v>0</v>
      </c>
    </row>
    <row r="29" spans="3:6">
      <c r="E29" s="25" t="s">
        <v>21</v>
      </c>
      <c r="F29" s="27">
        <v>500</v>
      </c>
    </row>
    <row r="30" spans="3:6" ht="18.600000000000001" thickBot="1">
      <c r="E30" s="32" t="s">
        <v>22</v>
      </c>
      <c r="F30" s="33">
        <f>F27+F28-F29</f>
        <v>-500</v>
      </c>
    </row>
    <row r="32" spans="3:6" ht="14.4" customHeight="1">
      <c r="C32" s="43" t="s">
        <v>30</v>
      </c>
      <c r="D32" s="44"/>
      <c r="E32" s="44"/>
      <c r="F32" s="44"/>
    </row>
    <row r="33" spans="3:6" ht="14.4" customHeight="1">
      <c r="C33" s="44"/>
      <c r="D33" s="44"/>
      <c r="E33" s="44"/>
      <c r="F33" s="44"/>
    </row>
  </sheetData>
  <mergeCells count="6">
    <mergeCell ref="C3:F5"/>
    <mergeCell ref="C32:F33"/>
    <mergeCell ref="C11:C13"/>
    <mergeCell ref="E11:F11"/>
    <mergeCell ref="E12:F12"/>
    <mergeCell ref="E13:F13"/>
  </mergeCells>
  <dataValidations count="1">
    <dataValidation type="whole" allowBlank="1" showInputMessage="1" showErrorMessage="1" prompt="Enter the Quantity" sqref="C16:C24" xr:uid="{C0699FCB-9A1B-4DB0-953D-0FC1DB4C35DE}">
      <formula1>1</formula1>
      <formula2>10000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SaveOrMail_A1G35">
                <anchor moveWithCells="1" sizeWithCells="1">
                  <from>
                    <xdr:col>3</xdr:col>
                    <xdr:colOff>487680</xdr:colOff>
                    <xdr:row>34</xdr:row>
                    <xdr:rowOff>60960</xdr:rowOff>
                  </from>
                  <to>
                    <xdr:col>4</xdr:col>
                    <xdr:colOff>160020</xdr:colOff>
                    <xdr:row>35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Choose Client" xr:uid="{EB4A79C9-1468-41DD-8675-E21A8CE6ECD1}">
          <x14:formula1>
            <xm:f>ClientList!$A$2:$A$4</xm:f>
          </x14:formula1>
          <xm:sqref>E11:F11</xm:sqref>
        </x14:dataValidation>
        <x14:dataValidation type="list" allowBlank="1" showInputMessage="1" showErrorMessage="1" prompt="Select Product/Service" xr:uid="{7066D582-CE8E-4577-BEA8-85EC44DE9581}">
          <x14:formula1>
            <xm:f>ProductList!$A$2:$A$6</xm:f>
          </x14:formula1>
          <xm:sqref>D16:D24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24C58-2D4A-4ECD-9CBB-6CA3B343CAD8}">
  <sheetPr codeName="Sheet2"/>
  <dimension ref="A1:C4"/>
  <sheetViews>
    <sheetView workbookViewId="0">
      <selection activeCell="C10" sqref="C10"/>
    </sheetView>
  </sheetViews>
  <sheetFormatPr defaultRowHeight="14.4"/>
  <cols>
    <col min="1" max="1" width="13.33203125" bestFit="1" customWidth="1"/>
    <col min="2" max="2" width="12.5546875" bestFit="1" customWidth="1"/>
    <col min="3" max="3" width="11.6640625" bestFit="1" customWidth="1"/>
  </cols>
  <sheetData>
    <row r="1" spans="1:3">
      <c r="A1" s="1" t="s">
        <v>0</v>
      </c>
      <c r="B1" s="1" t="s">
        <v>1</v>
      </c>
      <c r="C1" s="1" t="s">
        <v>2</v>
      </c>
    </row>
    <row r="2" spans="1:3">
      <c r="A2" s="2" t="s">
        <v>3</v>
      </c>
      <c r="B2" s="2" t="s">
        <v>4</v>
      </c>
      <c r="C2" s="2" t="s">
        <v>9</v>
      </c>
    </row>
    <row r="3" spans="1:3">
      <c r="A3" s="2" t="s">
        <v>5</v>
      </c>
      <c r="B3" s="2" t="s">
        <v>6</v>
      </c>
      <c r="C3" s="2" t="s">
        <v>10</v>
      </c>
    </row>
    <row r="4" spans="1:3">
      <c r="A4" s="2" t="s">
        <v>7</v>
      </c>
      <c r="B4" s="2" t="s">
        <v>8</v>
      </c>
      <c r="C4" s="2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F8BAB-D68D-4E43-BEF6-614F560F1638}">
  <sheetPr codeName="Sheet3"/>
  <dimension ref="A1:B6"/>
  <sheetViews>
    <sheetView workbookViewId="0"/>
  </sheetViews>
  <sheetFormatPr defaultRowHeight="14.4"/>
  <cols>
    <col min="1" max="1" width="16.6640625" bestFit="1" customWidth="1"/>
  </cols>
  <sheetData>
    <row r="1" spans="1:2">
      <c r="A1" s="1" t="s">
        <v>12</v>
      </c>
      <c r="B1" s="1" t="s">
        <v>13</v>
      </c>
    </row>
    <row r="2" spans="1:2">
      <c r="A2" s="2" t="s">
        <v>14</v>
      </c>
      <c r="B2" s="2">
        <v>2000</v>
      </c>
    </row>
    <row r="3" spans="1:2">
      <c r="A3" s="2" t="s">
        <v>15</v>
      </c>
      <c r="B3" s="2">
        <v>10000</v>
      </c>
    </row>
    <row r="4" spans="1:2">
      <c r="A4" s="2" t="s">
        <v>16</v>
      </c>
      <c r="B4" s="2">
        <v>5000</v>
      </c>
    </row>
    <row r="5" spans="1:2">
      <c r="A5" s="2" t="s">
        <v>17</v>
      </c>
      <c r="B5" s="2">
        <v>4000</v>
      </c>
    </row>
    <row r="6" spans="1:2">
      <c r="A6" s="2" t="s">
        <v>18</v>
      </c>
      <c r="B6" s="2">
        <v>1500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Invoice</vt:lpstr>
      <vt:lpstr>ClientList</vt:lpstr>
      <vt:lpstr>ProductList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Apurva Kerkar</dc:creator>
  <cp:lastModifiedBy>Apurva Kerkar</cp:lastModifiedBy>
  <cp:lastPrinted>2025-07-07T05:46:39Z</cp:lastPrinted>
  <dcterms:created xsi:type="dcterms:W3CDTF">2025-07-06T09:42:41Z</dcterms:created>
  <dcterms:modified xsi:type="dcterms:W3CDTF">2025-07-07T09:27:01Z</dcterms:modified>
</cp:coreProperties>
</file>